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eta" sheetId="1" state="visible" r:id="rId1"/>
    <sheet xmlns:r="http://schemas.openxmlformats.org/officeDocument/2006/relationships" name="Bo'limlar bo'yicha" sheetId="2" state="visible" r:id="rId2"/>
    <sheet xmlns:r="http://schemas.openxmlformats.org/officeDocument/2006/relationships" name="Daromad prognoz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6">
    <font>
      <name val="Calibri"/>
      <family val="2"/>
      <color theme="1"/>
      <sz val="11"/>
      <scheme val="minor"/>
    </font>
    <font>
      <b val="1"/>
      <color rgb="001B4F9C"/>
      <sz val="14"/>
    </font>
    <font>
      <b val="1"/>
    </font>
    <font>
      <i val="1"/>
      <color rgb="00888888"/>
    </font>
    <font>
      <b val="1"/>
      <color rgb="00FFFFFF"/>
    </font>
    <font>
      <i val="1"/>
      <color rgb="00C0392B"/>
    </font>
  </fonts>
  <fills count="4">
    <fill>
      <patternFill/>
    </fill>
    <fill>
      <patternFill patternType="gray125"/>
    </fill>
    <fill>
      <patternFill patternType="solid">
        <fgColor rgb="001B4F9C"/>
      </patternFill>
    </fill>
    <fill>
      <patternFill patternType="solid">
        <fgColor rgb="00E8EE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3" fontId="2" fillId="3" borderId="1" pivotButton="0" quotePrefix="0" xfId="0"/>
    <xf numFmtId="0" fontId="4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2" customWidth="1" min="3" max="3"/>
    <col width="10" customWidth="1" min="4" max="4"/>
    <col width="9" customWidth="1" min="5" max="5"/>
    <col width="17" customWidth="1" min="6" max="6"/>
    <col width="17" customWidth="1" min="7" max="7"/>
    <col width="32" customWidth="1" min="8" max="8"/>
  </cols>
  <sheetData>
    <row r="1">
      <c r="A1" s="1" t="inlineStr">
        <is>
          <t>«Tourist.uz» loyihasi — xarajatlar smetasi (MVP, 12 oy, Samarqand)</t>
        </is>
      </c>
    </row>
    <row r="2">
      <c r="A2" t="inlineStr">
        <is>
          <t>USD kursi (so'm):</t>
        </is>
      </c>
      <c r="C2" s="2" t="n">
        <v>12700</v>
      </c>
      <c r="D2" s="3" t="inlineStr">
        <is>
          <t>← kursni o'zgartirsangiz, API qatorlari avtomatik qayta hisoblanadi</t>
        </is>
      </c>
    </row>
    <row r="4">
      <c r="A4" s="4" t="inlineStr">
        <is>
          <t>№</t>
        </is>
      </c>
      <c r="B4" s="4" t="inlineStr">
        <is>
          <t>Bo'lim</t>
        </is>
      </c>
      <c r="C4" s="4" t="inlineStr">
        <is>
          <t>Xarajat moddasi</t>
        </is>
      </c>
      <c r="D4" s="4" t="inlineStr">
        <is>
          <t>Birlik</t>
        </is>
      </c>
      <c r="E4" s="4" t="inlineStr">
        <is>
          <t>Miqdor</t>
        </is>
      </c>
      <c r="F4" s="4" t="inlineStr">
        <is>
          <t>Birlik narxi, so'm</t>
        </is>
      </c>
      <c r="G4" s="4" t="inlineStr">
        <is>
          <t>Summa, so'm</t>
        </is>
      </c>
      <c r="H4" s="4" t="inlineStr">
        <is>
          <t>Izoh</t>
        </is>
      </c>
    </row>
    <row r="5">
      <c r="A5" s="5" t="n">
        <v>1</v>
      </c>
      <c r="B5" s="5" t="inlineStr">
        <is>
          <t>Dasturiy ta'minot</t>
        </is>
      </c>
      <c r="C5" s="6" t="inlineStr">
        <is>
          <t>Mobil ilova (Android + iOS, Flutter) ishlab chiqish</t>
        </is>
      </c>
      <c r="D5" s="5" t="inlineStr">
        <is>
          <t>oy</t>
        </is>
      </c>
      <c r="E5" s="5" t="n">
        <v>6</v>
      </c>
      <c r="F5" s="7" t="n">
        <v>4500000</v>
      </c>
      <c r="G5" s="7">
        <f>E5*F5</f>
        <v/>
      </c>
      <c r="H5" s="6" t="inlineStr">
        <is>
          <t>1 nafar dasturchi, 6 oy</t>
        </is>
      </c>
    </row>
    <row r="6">
      <c r="A6" s="5" t="n">
        <v>2</v>
      </c>
      <c r="B6" s="5" t="inlineStr">
        <is>
          <t>Dasturiy ta'minot</t>
        </is>
      </c>
      <c r="C6" s="6" t="inlineStr">
        <is>
          <t>Backend, veb-platforma va admin panel</t>
        </is>
      </c>
      <c r="D6" s="5" t="inlineStr">
        <is>
          <t>oy</t>
        </is>
      </c>
      <c r="E6" s="5" t="n">
        <v>6</v>
      </c>
      <c r="F6" s="7" t="n">
        <v>3500000</v>
      </c>
      <c r="G6" s="7">
        <f>E6*F6</f>
        <v/>
      </c>
      <c r="H6" s="6" t="inlineStr">
        <is>
          <t>1 nafar dasturchi, 6 oy</t>
        </is>
      </c>
    </row>
    <row r="7">
      <c r="A7" s="5" t="n">
        <v>3</v>
      </c>
      <c r="B7" s="5" t="inlineStr">
        <is>
          <t>Dasturiy ta'minot</t>
        </is>
      </c>
      <c r="C7" s="6" t="inlineStr">
        <is>
          <t>UI/UX dizayn (ilova va sayt)</t>
        </is>
      </c>
      <c r="D7" s="5" t="inlineStr">
        <is>
          <t>loyiha</t>
        </is>
      </c>
      <c r="E7" s="5" t="n">
        <v>1</v>
      </c>
      <c r="F7" s="7" t="n">
        <v>4000000</v>
      </c>
      <c r="G7" s="7">
        <f>E7*F7</f>
        <v/>
      </c>
      <c r="H7" s="6" t="inlineStr">
        <is>
          <t>Figma maketlar, brend</t>
        </is>
      </c>
    </row>
    <row r="8">
      <c r="A8" s="5" t="n">
        <v>4</v>
      </c>
      <c r="B8" s="5" t="inlineStr">
        <is>
          <t>Kontent</t>
        </is>
      </c>
      <c r="C8" s="6" t="inlineStr">
        <is>
          <t>Obidalar bo'yicha matnlarni tarixchi-ekspert tekshiruvi</t>
        </is>
      </c>
      <c r="D8" s="5" t="inlineStr">
        <is>
          <t>obida</t>
        </is>
      </c>
      <c r="E8" s="5" t="n">
        <v>40</v>
      </c>
      <c r="F8" s="7" t="n">
        <v>150000</v>
      </c>
      <c r="G8" s="7">
        <f>E8*F8</f>
        <v/>
      </c>
      <c r="H8" s="6" t="inlineStr">
        <is>
          <t>AI xatolarini oldini olish</t>
        </is>
      </c>
    </row>
    <row r="9">
      <c r="A9" s="5" t="n">
        <v>5</v>
      </c>
      <c r="B9" s="5" t="inlineStr">
        <is>
          <t>Kontent</t>
        </is>
      </c>
      <c r="C9" s="6" t="inlineStr">
        <is>
          <t>Tarjimalarni ona tili egasi tomonidan tahrirlash</t>
        </is>
      </c>
      <c r="D9" s="5" t="inlineStr">
        <is>
          <t>matn×til</t>
        </is>
      </c>
      <c r="E9" s="5" t="n">
        <v>240</v>
      </c>
      <c r="F9" s="7" t="n">
        <v>25000</v>
      </c>
      <c r="G9" s="7">
        <f>E9*F9</f>
        <v/>
      </c>
      <c r="H9" s="6" t="inlineStr">
        <is>
          <t>40 obida × 6 asosiy til</t>
        </is>
      </c>
    </row>
    <row r="10">
      <c r="A10" s="5" t="n">
        <v>6</v>
      </c>
      <c r="B10" s="5" t="inlineStr">
        <is>
          <t>Sun'iy intellekt va API</t>
        </is>
      </c>
      <c r="C10" s="6" t="inlineStr">
        <is>
          <t>Google Gemini API (matn + ovoz), 12 oy</t>
        </is>
      </c>
      <c r="D10" s="5" t="inlineStr">
        <is>
          <t>oy</t>
        </is>
      </c>
      <c r="E10" s="5" t="n">
        <v>12</v>
      </c>
      <c r="F10" s="7">
        <f>40*$C$2</f>
        <v/>
      </c>
      <c r="G10" s="7">
        <f>E10*F10</f>
        <v/>
      </c>
      <c r="H10" s="6" t="inlineStr">
        <is>
          <t>~$40/oy, keshlash bilan</t>
        </is>
      </c>
    </row>
    <row r="11">
      <c r="A11" s="5" t="n">
        <v>7</v>
      </c>
      <c r="B11" s="5" t="inlineStr">
        <is>
          <t>Sun'iy intellekt va API</t>
        </is>
      </c>
      <c r="C11" s="6" t="inlineStr">
        <is>
          <t>Xarita va tirbandlik API (Google/Yandex), 12 oy</t>
        </is>
      </c>
      <c r="D11" s="5" t="inlineStr">
        <is>
          <t>oy</t>
        </is>
      </c>
      <c r="E11" s="5" t="n">
        <v>12</v>
      </c>
      <c r="F11" s="7">
        <f>30*$C$2</f>
        <v/>
      </c>
      <c r="G11" s="7">
        <f>E11*F11</f>
        <v/>
      </c>
      <c r="H11" s="6" t="inlineStr">
        <is>
          <t>~$30/oy, bepul limitdan tashqari</t>
        </is>
      </c>
    </row>
    <row r="12">
      <c r="A12" s="5" t="n">
        <v>8</v>
      </c>
      <c r="B12" s="5" t="inlineStr">
        <is>
          <t>Infratuzilma</t>
        </is>
      </c>
      <c r="C12" s="6" t="inlineStr">
        <is>
          <t>Server (VPS) va ma'lumotlar bazasi, 12 oy</t>
        </is>
      </c>
      <c r="D12" s="5" t="inlineStr">
        <is>
          <t>oy</t>
        </is>
      </c>
      <c r="E12" s="5" t="n">
        <v>12</v>
      </c>
      <c r="F12" s="7" t="n">
        <v>250000</v>
      </c>
      <c r="G12" s="7">
        <f>E12*F12</f>
        <v/>
      </c>
      <c r="H12" s="6" t="inlineStr"/>
    </row>
    <row r="13">
      <c r="A13" s="5" t="n">
        <v>9</v>
      </c>
      <c r="B13" s="5" t="inlineStr">
        <is>
          <t>Infratuzilma</t>
        </is>
      </c>
      <c r="C13" s="6" t="inlineStr">
        <is>
          <t>Domen (.uz) va SSL sertifikat</t>
        </is>
      </c>
      <c r="D13" s="5" t="inlineStr">
        <is>
          <t>yil</t>
        </is>
      </c>
      <c r="E13" s="5" t="n">
        <v>1</v>
      </c>
      <c r="F13" s="7" t="n">
        <v>150000</v>
      </c>
      <c r="G13" s="7">
        <f>E13*F13</f>
        <v/>
      </c>
      <c r="H13" s="6" t="inlineStr"/>
    </row>
    <row r="14">
      <c r="A14" s="5" t="n">
        <v>10</v>
      </c>
      <c r="B14" s="5" t="inlineStr">
        <is>
          <t>Infratuzilma</t>
        </is>
      </c>
      <c r="C14" s="6" t="inlineStr">
        <is>
          <t>App Store ($99) va Google Play ($25) akkauntlari</t>
        </is>
      </c>
      <c r="D14" s="5" t="inlineStr">
        <is>
          <t>to'plam</t>
        </is>
      </c>
      <c r="E14" s="5" t="n">
        <v>1</v>
      </c>
      <c r="F14" s="7">
        <f>124*$C$2</f>
        <v/>
      </c>
      <c r="G14" s="7">
        <f>E14*F14</f>
        <v/>
      </c>
      <c r="H14" s="6" t="inlineStr">
        <is>
          <t>bir martalik / yillik</t>
        </is>
      </c>
    </row>
    <row r="15">
      <c r="A15" s="5" t="n">
        <v>11</v>
      </c>
      <c r="B15" s="5" t="inlineStr">
        <is>
          <t>Integratsiya</t>
        </is>
      </c>
      <c r="C15" s="6" t="inlineStr">
        <is>
          <t>To'lov tizimlarini ulash (Payme, Click, Uzcard/Humo, Visa/MC)</t>
        </is>
      </c>
      <c r="D15" s="5" t="inlineStr">
        <is>
          <t>loyiha</t>
        </is>
      </c>
      <c r="E15" s="5" t="n">
        <v>1</v>
      </c>
      <c r="F15" s="7" t="n">
        <v>2000000</v>
      </c>
      <c r="G15" s="7">
        <f>E15*F15</f>
        <v/>
      </c>
      <c r="H15" s="6" t="inlineStr">
        <is>
          <t>test va sertifikatlash</t>
        </is>
      </c>
    </row>
    <row r="16">
      <c r="A16" s="5" t="n">
        <v>12</v>
      </c>
      <c r="B16" s="5" t="inlineStr">
        <is>
          <t>Marketing</t>
        </is>
      </c>
      <c r="C16" s="6" t="inlineStr">
        <is>
          <t>Obidalar yonida QR-stendlar</t>
        </is>
      </c>
      <c r="D16" s="5" t="inlineStr">
        <is>
          <t>dona</t>
        </is>
      </c>
      <c r="E16" s="5" t="n">
        <v>40</v>
      </c>
      <c r="F16" s="7" t="n">
        <v>100000</v>
      </c>
      <c r="G16" s="7">
        <f>E16*F16</f>
        <v/>
      </c>
      <c r="H16" s="6" t="inlineStr">
        <is>
          <t>ilovani yuklab olish uchun</t>
        </is>
      </c>
    </row>
    <row r="17">
      <c r="A17" s="5" t="n">
        <v>13</v>
      </c>
      <c r="B17" s="5" t="inlineStr">
        <is>
          <t>Marketing</t>
        </is>
      </c>
      <c r="C17" s="6" t="inlineStr">
        <is>
          <t>SMM, mehmonxona va turoperatorlar uchun flayerlar</t>
        </is>
      </c>
      <c r="D17" s="5" t="inlineStr">
        <is>
          <t>loyiha</t>
        </is>
      </c>
      <c r="E17" s="5" t="n">
        <v>1</v>
      </c>
      <c r="F17" s="7" t="n">
        <v>5000000</v>
      </c>
      <c r="G17" s="7">
        <f>E17*F17</f>
        <v/>
      </c>
      <c r="H17" s="6" t="inlineStr">
        <is>
          <t>3 oylik kampaniya</t>
        </is>
      </c>
    </row>
    <row r="18">
      <c r="A18" s="5" t="n">
        <v>14</v>
      </c>
      <c r="B18" s="5" t="inlineStr">
        <is>
          <t>Sinov</t>
        </is>
      </c>
      <c r="C18" s="6" t="inlineStr">
        <is>
          <t>Samarqandda sayyohlar bilan dala sinovi</t>
        </is>
      </c>
      <c r="D18" s="5" t="inlineStr">
        <is>
          <t>loyiha</t>
        </is>
      </c>
      <c r="E18" s="5" t="n">
        <v>1</v>
      </c>
      <c r="F18" s="7" t="n">
        <v>2500000</v>
      </c>
      <c r="G18" s="7">
        <f>E18*F18</f>
        <v/>
      </c>
      <c r="H18" s="6" t="inlineStr">
        <is>
          <t>2 kishi, 2 hafta</t>
        </is>
      </c>
    </row>
    <row r="19">
      <c r="A19" s="8" t="n"/>
      <c r="B19" s="8" t="n"/>
      <c r="C19" s="9" t="inlineStr">
        <is>
          <t>Jami</t>
        </is>
      </c>
      <c r="D19" s="8" t="n"/>
      <c r="E19" s="8" t="n"/>
      <c r="F19" s="8" t="n"/>
      <c r="G19" s="10">
        <f>SUM(G5:G18)</f>
        <v/>
      </c>
      <c r="H19" s="8" t="n"/>
    </row>
    <row r="20">
      <c r="A20" s="8" t="n"/>
      <c r="B20" s="8" t="n"/>
      <c r="C20" s="9" t="inlineStr">
        <is>
          <t>Kutilmagan xarajatlar (5%)</t>
        </is>
      </c>
      <c r="D20" s="8" t="n"/>
      <c r="E20" s="8" t="n"/>
      <c r="F20" s="8" t="n"/>
      <c r="G20" s="10">
        <f>ROUND(G19*0.05,0)</f>
        <v/>
      </c>
      <c r="H20" s="8" t="n"/>
    </row>
    <row r="21">
      <c r="A21" s="8" t="n"/>
      <c r="B21" s="8" t="n"/>
      <c r="C21" s="9" t="inlineStr">
        <is>
          <t>UMUMIY SUMMA</t>
        </is>
      </c>
      <c r="D21" s="8" t="n"/>
      <c r="E21" s="8" t="n"/>
      <c r="F21" s="8" t="n"/>
      <c r="G21" s="10">
        <f>G19+G20</f>
        <v/>
      </c>
      <c r="H21" s="8" t="n"/>
    </row>
    <row r="22">
      <c r="A22" s="8" t="n"/>
      <c r="B22" s="8" t="n"/>
      <c r="C22" s="9" t="inlineStr">
        <is>
          <t>UMUMIY SUMMA, USD</t>
        </is>
      </c>
      <c r="D22" s="8" t="n"/>
      <c r="E22" s="8" t="n"/>
      <c r="F22" s="8" t="n"/>
      <c r="G22" s="10">
        <f>G21/$C$2</f>
        <v/>
      </c>
      <c r="H22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1" t="inlineStr">
        <is>
          <t>Bo'lim</t>
        </is>
      </c>
      <c r="B1" s="11" t="inlineStr">
        <is>
          <t>Summa, so'm</t>
        </is>
      </c>
      <c r="C1" s="11" t="inlineStr">
        <is>
          <t>Ulushi</t>
        </is>
      </c>
    </row>
    <row r="2">
      <c r="A2" t="inlineStr">
        <is>
          <t>Dasturiy ta'minot</t>
        </is>
      </c>
      <c r="B2" s="12">
        <f>SUMIF(Smeta!B5:B18,A2,Smeta!G5:G18)</f>
        <v/>
      </c>
      <c r="C2" s="13">
        <f>B2/SUM($B$2:$B$8)</f>
        <v/>
      </c>
    </row>
    <row r="3">
      <c r="A3" t="inlineStr">
        <is>
          <t>Kontent</t>
        </is>
      </c>
      <c r="B3" s="12">
        <f>SUMIF(Smeta!B5:B18,A3,Smeta!G5:G18)</f>
        <v/>
      </c>
      <c r="C3" s="13">
        <f>B3/SUM($B$2:$B$8)</f>
        <v/>
      </c>
    </row>
    <row r="4">
      <c r="A4" t="inlineStr">
        <is>
          <t>Sun'iy intellekt va API</t>
        </is>
      </c>
      <c r="B4" s="12">
        <f>SUMIF(Smeta!B5:B18,A4,Smeta!G5:G18)</f>
        <v/>
      </c>
      <c r="C4" s="13">
        <f>B4/SUM($B$2:$B$8)</f>
        <v/>
      </c>
    </row>
    <row r="5">
      <c r="A5" t="inlineStr">
        <is>
          <t>Infratuzilma</t>
        </is>
      </c>
      <c r="B5" s="12">
        <f>SUMIF(Smeta!B5:B18,A5,Smeta!G5:G18)</f>
        <v/>
      </c>
      <c r="C5" s="13">
        <f>B5/SUM($B$2:$B$8)</f>
        <v/>
      </c>
    </row>
    <row r="6">
      <c r="A6" t="inlineStr">
        <is>
          <t>Integratsiya</t>
        </is>
      </c>
      <c r="B6" s="12">
        <f>SUMIF(Smeta!B5:B18,A6,Smeta!G5:G18)</f>
        <v/>
      </c>
      <c r="C6" s="13">
        <f>B6/SUM($B$2:$B$8)</f>
        <v/>
      </c>
    </row>
    <row r="7">
      <c r="A7" t="inlineStr">
        <is>
          <t>Marketing</t>
        </is>
      </c>
      <c r="B7" s="12">
        <f>SUMIF(Smeta!B5:B18,A7,Smeta!G5:G18)</f>
        <v/>
      </c>
      <c r="C7" s="13">
        <f>B7/SUM($B$2:$B$8)</f>
        <v/>
      </c>
    </row>
    <row r="8">
      <c r="A8" t="inlineStr">
        <is>
          <t>Sinov</t>
        </is>
      </c>
      <c r="B8" s="12">
        <f>SUMIF(Smeta!B5:B18,A8,Smeta!G5:G18)</f>
        <v/>
      </c>
      <c r="C8" s="13">
        <f>B8/SUM($B$2:$B$8)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1" t="inlineStr">
        <is>
          <t>Ko'rsatkich (2-yil, Samarqand)</t>
        </is>
      </c>
      <c r="B1" s="11" t="inlineStr">
        <is>
          <t>Qiymat</t>
        </is>
      </c>
    </row>
    <row r="2">
      <c r="A2" t="inlineStr">
        <is>
          <t>Chipta xarid qilgan foydalanuvchilar</t>
        </is>
      </c>
      <c r="B2" s="12" t="n">
        <v>20000</v>
      </c>
    </row>
    <row r="3">
      <c r="A3" t="inlineStr">
        <is>
          <t>O'rtacha chek (chiptalar), so'm</t>
        </is>
      </c>
      <c r="B3" s="12" t="n">
        <v>150000</v>
      </c>
    </row>
    <row r="4">
      <c r="A4" t="inlineStr">
        <is>
          <t>Komissiya</t>
        </is>
      </c>
      <c r="B4" s="14" t="n">
        <v>0.06</v>
      </c>
    </row>
    <row r="5">
      <c r="A5" t="inlineStr">
        <is>
          <t>Komissiyadan daromad, so'm</t>
        </is>
      </c>
      <c r="B5" s="12">
        <f>B2*B3*B4</f>
        <v/>
      </c>
    </row>
    <row r="6">
      <c r="A6" t="inlineStr">
        <is>
          <t>Premium audio-gid xaridlari</t>
        </is>
      </c>
      <c r="B6" s="12" t="n">
        <v>3000</v>
      </c>
    </row>
    <row r="7">
      <c r="A7" t="inlineStr">
        <is>
          <t>Premium narxi, so'm</t>
        </is>
      </c>
      <c r="B7" s="12">
        <f>2.5*Smeta!C2</f>
        <v/>
      </c>
    </row>
    <row r="8">
      <c r="A8" t="inlineStr">
        <is>
          <t>Premiumdan daromad, so'm</t>
        </is>
      </c>
      <c r="B8" s="12">
        <f>B6*B7</f>
        <v/>
      </c>
    </row>
    <row r="9">
      <c r="A9" t="inlineStr">
        <is>
          <t>Reklama va B2B, so'm</t>
        </is>
      </c>
      <c r="B9" s="12" t="n">
        <v>80000000</v>
      </c>
    </row>
    <row r="10">
      <c r="A10" t="inlineStr">
        <is>
          <t>JAMI DAROMAD, so'm</t>
        </is>
      </c>
      <c r="B10" s="12">
        <f>B5+B8+B9</f>
        <v/>
      </c>
    </row>
    <row r="11">
      <c r="A11" t="inlineStr">
        <is>
          <t>Loyiha xarajati, so'm</t>
        </is>
      </c>
      <c r="B11" s="12">
        <f>Smeta!G21</f>
        <v/>
      </c>
    </row>
    <row r="12">
      <c r="A12" t="inlineStr">
        <is>
          <t>O'zini oqlash muddati, oy (taxminiy)</t>
        </is>
      </c>
      <c r="B12" s="15">
        <f>ROUND(B11/(B10/12),1)</f>
        <v/>
      </c>
    </row>
    <row r="14">
      <c r="A14" s="16" t="inlineStr">
        <is>
          <t>Diqqat: bu prognoz taxminiy, himoyada shunday deb ko'rsating.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2026-09-29T17:11:45Z</dcterms:created>
  <dcterms:modified xmlns:dcterms="http://purl.org/dc/terms/" xmlns:xsi="http://www.w3.org/2001/XMLSchema-instance" xsi:type="dcterms:W3CDTF">2026-09-29T17:11:45Z</dcterms:modified>
</cp:coreProperties>
</file>